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esupuesto General" sheetId="2" state="visible" r:id="rId2"/>
    <sheet xmlns:r="http://schemas.openxmlformats.org/officeDocument/2006/relationships" name="Por Componente" sheetId="3" state="visible" r:id="rId3"/>
    <sheet xmlns:r="http://schemas.openxmlformats.org/officeDocument/2006/relationships" name="Capital Semilla" sheetId="4" state="visible" r:id="rId4"/>
    <sheet xmlns:r="http://schemas.openxmlformats.org/officeDocument/2006/relationships" name="Personal" sheetId="5" state="visible" r:id="rId5"/>
    <sheet xmlns:r="http://schemas.openxmlformats.org/officeDocument/2006/relationships" name="Costos Operativos" sheetId="6" state="visible" r:id="rId6"/>
    <sheet xmlns:r="http://schemas.openxmlformats.org/officeDocument/2006/relationships" name="Financiamiento" sheetId="7" state="visible" r:id="rId7"/>
    <sheet xmlns:r="http://schemas.openxmlformats.org/officeDocument/2006/relationships"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3D7A"/>
      <sz val="14"/>
    </font>
    <font>
      <name val="Calibri"/>
      <b val="1"/>
      <color rgb="001A5F9E"/>
      <sz val="12"/>
    </font>
    <font>
      <name val="Calibri"/>
      <b val="1"/>
      <color rgb="00003D7A"/>
      <sz val="2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003D7A"/>
      <sz val="16"/>
    </font>
    <font>
      <name val="Calibri"/>
      <b val="1"/>
      <color rgb="00E74C3C"/>
      <sz val="11"/>
    </font>
  </fonts>
  <fills count="5">
    <fill>
      <patternFill/>
    </fill>
    <fill>
      <patternFill patternType="gray125"/>
    </fill>
    <fill>
      <patternFill patternType="solid">
        <fgColor rgb="00003D7A"/>
      </patternFill>
    </fill>
    <fill>
      <patternFill patternType="solid">
        <fgColor rgb="00D6E4F0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8" fillId="4" borderId="0" pivotButton="0" quotePrefix="0" xfId="0"/>
    <xf numFmtId="3" fontId="8" fillId="4" borderId="0" pivotButton="0" quotePrefix="0" xfId="0"/>
    <xf numFmtId="9" fontId="6" fillId="0" borderId="1" applyAlignment="1" pivotButton="0" quotePrefix="0" xfId="0">
      <alignment horizontal="right" vertical="center"/>
    </xf>
    <xf numFmtId="9" fontId="6" fillId="3" borderId="1" applyAlignment="1" pivotButton="0" quotePrefix="0" xfId="0">
      <alignment horizontal="right" vertical="center"/>
    </xf>
    <xf numFmtId="9" fontId="8" fillId="4" borderId="0" pivotButton="0" quotePrefix="0" xfId="0"/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v>RD$</v>
          </tx>
          <spPr>
            <a:solidFill xmlns:a="http://schemas.openxmlformats.org/drawingml/2006/main">
              <a:srgbClr val="003D7A"/>
            </a:solidFill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'Dashboard'!$A$9:$A$13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RD$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Componente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3D7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A5F9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'Dashboard'!$D$15:$D$18</f>
            </numRef>
          </cat>
          <val>
            <numRef>
              <f>'Dashboard'!$D$15:$E$15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'Dashboard'!$D$15:$D$18</f>
            </numRef>
          </cat>
          <val>
            <numRef>
              <f>'Dashboard'!$D$16:$E$16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'Dashboard'!$D$15:$D$18</f>
            </numRef>
          </cat>
          <val>
            <numRef>
              <f>'Dashboard'!$D$17:$E$17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'Dashboard'!$D$15:$D$18</f>
            </numRef>
          </cat>
          <val>
            <numRef>
              <f>'Dashboard'!$D$18:$E$18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del Presupuesto por Componente</a:t>
            </a:r>
          </a:p>
        </rich>
      </tx>
    </title>
    <plotArea>
      <pieChart>
        <varyColors val="1"/>
        <ser>
          <idx val="0"/>
          <order val="0"/>
          <tx>
            <strRef>
              <f>'Por Componente'!B4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3D7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A5F9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cat>
            <numRef>
              <f>'Por Componente'!$A$5:$A$8</f>
            </numRef>
          </cat>
          <val>
            <numRef>
              <f>'Por Componente'!$B$5:$B$8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Fuentes de Financiamiento</a:t>
            </a:r>
          </a:p>
        </rich>
      </tx>
    </title>
    <plotArea>
      <pieChart>
        <varyColors val="1"/>
        <ser>
          <idx val="0"/>
          <order val="0"/>
          <tx>
            <strRef>
              <f>'Financiamiento'!B4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3D7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A5F9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cat>
            <numRef>
              <f>'Financiamiento'!$A$5:$A$8</f>
            </numRef>
          </cat>
          <val>
            <numRef>
              <f>'Financiamiento'!$B$5:$B$8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CENTRO INTEGRAL DE CAPACITACION Y EMPRENDIMIENTO PARA MADRES SOLTERAS</t>
        </is>
      </c>
    </row>
    <row r="2" ht="22" customHeight="1">
      <c r="A2" s="2" t="inlineStr">
        <is>
          <t>DASHBOARD EJECUTIVO | Propuesta BID/PNUD | Monto Total: RD$ 110,100,000</t>
        </is>
      </c>
    </row>
    <row r="4">
      <c r="A4" s="3" t="inlineStr">
        <is>
          <t>RD$ 110.1M</t>
        </is>
      </c>
      <c r="B4" s="3" t="inlineStr">
        <is>
          <t>350-450</t>
        </is>
      </c>
      <c r="C4" s="3" t="inlineStr">
        <is>
          <t>RD$ 314,571</t>
        </is>
      </c>
      <c r="D4" s="3" t="inlineStr">
        <is>
          <t>15 Aulas + Taller</t>
        </is>
      </c>
      <c r="E4" s="3" t="inlineStr">
        <is>
          <t>30-40 Niños</t>
        </is>
      </c>
      <c r="F4" s="3" t="inlineStr">
        <is>
          <t>70% BID/PNUD</t>
        </is>
      </c>
    </row>
    <row r="5">
      <c r="A5" s="4" t="inlineStr">
        <is>
          <t>Presupuesto Total 5 Años</t>
        </is>
      </c>
      <c r="B5" s="4" t="inlineStr">
        <is>
          <t>Madres Beneficiarias / Año</t>
        </is>
      </c>
      <c r="C5" s="4" t="inlineStr">
        <is>
          <t>Costo por Beneficiaria</t>
        </is>
      </c>
      <c r="D5" s="4" t="inlineStr">
        <is>
          <t>Capacidad Instalada</t>
        </is>
      </c>
      <c r="E5" s="4" t="inlineStr">
        <is>
          <t>Guardería (0-10 años)</t>
        </is>
      </c>
      <c r="F5" s="4" t="inlineStr">
        <is>
          <t>Financiamiento Externo</t>
        </is>
      </c>
    </row>
    <row r="8">
      <c r="A8" s="5" t="inlineStr">
        <is>
          <t>Año</t>
        </is>
      </c>
      <c r="B8" s="5" t="inlineStr">
        <is>
          <t>Presupuesto (RD$)</t>
        </is>
      </c>
    </row>
    <row r="9">
      <c r="A9" s="6" t="inlineStr">
        <is>
          <t>Año 1</t>
        </is>
      </c>
      <c r="B9" s="7" t="n">
        <v>28000000</v>
      </c>
    </row>
    <row r="10">
      <c r="A10" s="6" t="inlineStr">
        <is>
          <t>Año 2</t>
        </is>
      </c>
      <c r="B10" s="7" t="n">
        <v>24000000</v>
      </c>
    </row>
    <row r="11">
      <c r="A11" s="6" t="inlineStr">
        <is>
          <t>Año 3</t>
        </is>
      </c>
      <c r="B11" s="7" t="n">
        <v>22000000</v>
      </c>
    </row>
    <row r="12">
      <c r="A12" s="6" t="inlineStr">
        <is>
          <t>Año 4</t>
        </is>
      </c>
      <c r="B12" s="7" t="n">
        <v>19500000</v>
      </c>
    </row>
    <row r="13">
      <c r="A13" s="6" t="inlineStr">
        <is>
          <t>Año 5</t>
        </is>
      </c>
      <c r="B13" s="7" t="n">
        <v>16500000</v>
      </c>
    </row>
    <row r="14">
      <c r="D14" s="5" t="inlineStr">
        <is>
          <t>Componente</t>
        </is>
      </c>
      <c r="E14" s="5" t="inlineStr">
        <is>
          <t>Monto</t>
        </is>
      </c>
    </row>
    <row r="15">
      <c r="D15" s="6" t="inlineStr">
        <is>
          <t>C1: Formación Técnica</t>
        </is>
      </c>
      <c r="E15" s="7" t="n">
        <v>38535000</v>
      </c>
    </row>
    <row r="16">
      <c r="D16" s="6" t="inlineStr">
        <is>
          <t>C2: Capital Semilla</t>
        </is>
      </c>
      <c r="E16" s="7" t="n">
        <v>27525000</v>
      </c>
    </row>
    <row r="17">
      <c r="D17" s="6" t="inlineStr">
        <is>
          <t>C3: Servicios Integrales</t>
        </is>
      </c>
      <c r="E17" s="7" t="n">
        <v>27525000</v>
      </c>
    </row>
    <row r="18">
      <c r="D18" s="6" t="inlineStr">
        <is>
          <t>C4: Gestión y M&amp;E</t>
        </is>
      </c>
      <c r="E18" s="7" t="n">
        <v>16515000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PRESUPUESTO GENERAL POR PARTIDA Y AÑO</t>
        </is>
      </c>
    </row>
    <row r="2">
      <c r="A2" s="9" t="inlineStr">
        <is>
          <t>Montos en RD$ (Pesos Dominicanos)</t>
        </is>
      </c>
    </row>
    <row r="4">
      <c r="A4" s="10" t="inlineStr">
        <is>
          <t>Partida</t>
        </is>
      </c>
      <c r="B4" s="10" t="inlineStr">
        <is>
          <t>Año 1</t>
        </is>
      </c>
      <c r="C4" s="10" t="inlineStr">
        <is>
          <t>Año 2</t>
        </is>
      </c>
      <c r="D4" s="10" t="inlineStr">
        <is>
          <t>Año 3</t>
        </is>
      </c>
      <c r="E4" s="10" t="inlineStr">
        <is>
          <t>Año 4</t>
        </is>
      </c>
      <c r="F4" s="10" t="inlineStr">
        <is>
          <t>Año 5</t>
        </is>
      </c>
      <c r="G4" s="10" t="inlineStr">
        <is>
          <t>TOTAL</t>
        </is>
      </c>
    </row>
    <row r="5">
      <c r="A5" s="11" t="inlineStr">
        <is>
          <t>1. ADECUACION DE INFRAESTRUCTURA</t>
        </is>
      </c>
      <c r="B5" s="12" t="n">
        <v>12000000</v>
      </c>
      <c r="C5" s="12" t="n">
        <v>3000000</v>
      </c>
      <c r="D5" s="12" t="n">
        <v>2000000</v>
      </c>
      <c r="E5" s="12" t="n">
        <v>0</v>
      </c>
      <c r="F5" s="12" t="n">
        <v>0</v>
      </c>
      <c r="G5" s="12" t="n">
        <v>17000000</v>
      </c>
    </row>
    <row r="6">
      <c r="A6" s="13" t="inlineStr">
        <is>
          <t>2. EQUIPAMIENTO AULAS Y TALLERES</t>
        </is>
      </c>
      <c r="B6" s="14" t="n">
        <v>4000000</v>
      </c>
      <c r="C6" s="14" t="n">
        <v>1500000</v>
      </c>
      <c r="D6" s="14" t="n">
        <v>1000000</v>
      </c>
      <c r="E6" s="14" t="n">
        <v>0</v>
      </c>
      <c r="F6" s="14" t="n">
        <v>0</v>
      </c>
      <c r="G6" s="14" t="n">
        <v>6500000</v>
      </c>
    </row>
    <row r="7">
      <c r="A7" s="11" t="inlineStr">
        <is>
          <t>3. EQUIP. GUARDERIA (0-10 AÑOS)</t>
        </is>
      </c>
      <c r="B7" s="12" t="n">
        <v>2000000</v>
      </c>
      <c r="C7" s="12" t="n">
        <v>1000000</v>
      </c>
      <c r="D7" s="12" t="n">
        <v>500000</v>
      </c>
      <c r="E7" s="12" t="n">
        <v>0</v>
      </c>
      <c r="F7" s="12" t="n">
        <v>0</v>
      </c>
      <c r="G7" s="12" t="n">
        <v>3500000</v>
      </c>
    </row>
    <row r="8">
      <c r="A8" s="13" t="inlineStr">
        <is>
          <t>4. EQUIP. DISPENSARIO MEDICO</t>
        </is>
      </c>
      <c r="B8" s="14" t="n">
        <v>1500000</v>
      </c>
      <c r="C8" s="14" t="n">
        <v>500000</v>
      </c>
      <c r="D8" s="14" t="n">
        <v>0</v>
      </c>
      <c r="E8" s="14" t="n">
        <v>0</v>
      </c>
      <c r="F8" s="14" t="n">
        <v>0</v>
      </c>
      <c r="G8" s="14" t="n">
        <v>2000000</v>
      </c>
    </row>
    <row r="9">
      <c r="A9" s="11" t="inlineStr">
        <is>
          <t>5. SALARIOS PERSONAL</t>
        </is>
      </c>
      <c r="B9" s="12" t="n">
        <v>4800000</v>
      </c>
      <c r="C9" s="12" t="n">
        <v>5200000</v>
      </c>
      <c r="D9" s="12" t="n">
        <v>5600000</v>
      </c>
      <c r="E9" s="12" t="n">
        <v>6000000</v>
      </c>
      <c r="F9" s="12" t="n">
        <v>6400000</v>
      </c>
      <c r="G9" s="12" t="n">
        <v>28000000</v>
      </c>
    </row>
    <row r="10">
      <c r="A10" s="13" t="inlineStr">
        <is>
          <t>6. CAPITAL SEMILLA (Kits Emprendimiento)</t>
        </is>
      </c>
      <c r="B10" s="14" t="n">
        <v>5250000</v>
      </c>
      <c r="C10" s="14" t="n">
        <v>4500000</v>
      </c>
      <c r="D10" s="14" t="n">
        <v>3750000</v>
      </c>
      <c r="E10" s="14" t="n">
        <v>3000000</v>
      </c>
      <c r="F10" s="14" t="n">
        <v>2250000</v>
      </c>
      <c r="G10" s="14" t="n">
        <v>18750000</v>
      </c>
    </row>
    <row r="11">
      <c r="A11" s="11" t="inlineStr">
        <is>
          <t>7. MATERIA PRIMA PRACTICAS</t>
        </is>
      </c>
      <c r="B11" s="12" t="n">
        <v>1800000</v>
      </c>
      <c r="C11" s="12" t="n">
        <v>1800000</v>
      </c>
      <c r="D11" s="12" t="n">
        <v>1800000</v>
      </c>
      <c r="E11" s="12" t="n">
        <v>1800000</v>
      </c>
      <c r="F11" s="12" t="n">
        <v>1800000</v>
      </c>
      <c r="G11" s="12" t="n">
        <v>9000000</v>
      </c>
    </row>
    <row r="12">
      <c r="A12" s="13" t="inlineStr">
        <is>
          <t>8. SERVICIOS BASICOS Y OPERACION</t>
        </is>
      </c>
      <c r="B12" s="14" t="n">
        <v>1200000</v>
      </c>
      <c r="C12" s="14" t="n">
        <v>1200000</v>
      </c>
      <c r="D12" s="14" t="n">
        <v>1200000</v>
      </c>
      <c r="E12" s="14" t="n">
        <v>1200000</v>
      </c>
      <c r="F12" s="14" t="n">
        <v>1200000</v>
      </c>
      <c r="G12" s="14" t="n">
        <v>6000000</v>
      </c>
    </row>
    <row r="13">
      <c r="A13" s="11" t="inlineStr">
        <is>
          <t>9. ALIMENTACION GUARDERIA</t>
        </is>
      </c>
      <c r="B13" s="12" t="n">
        <v>960000</v>
      </c>
      <c r="C13" s="12" t="n">
        <v>960000</v>
      </c>
      <c r="D13" s="12" t="n">
        <v>960000</v>
      </c>
      <c r="E13" s="12" t="n">
        <v>960000</v>
      </c>
      <c r="F13" s="12" t="n">
        <v>960000</v>
      </c>
      <c r="G13" s="12" t="n">
        <v>4800000</v>
      </c>
    </row>
    <row r="14">
      <c r="A14" s="13" t="inlineStr">
        <is>
          <t>10. INSUMOS MEDICOS</t>
        </is>
      </c>
      <c r="B14" s="14" t="n">
        <v>480000</v>
      </c>
      <c r="C14" s="14" t="n">
        <v>480000</v>
      </c>
      <c r="D14" s="14" t="n">
        <v>480000</v>
      </c>
      <c r="E14" s="14" t="n">
        <v>480000</v>
      </c>
      <c r="F14" s="14" t="n">
        <v>480000</v>
      </c>
      <c r="G14" s="14" t="n">
        <v>2400000</v>
      </c>
    </row>
    <row r="15">
      <c r="A15" s="11" t="inlineStr">
        <is>
          <t>11. LOGISTICA Y TRANSPORTE</t>
        </is>
      </c>
      <c r="B15" s="12" t="n">
        <v>800000</v>
      </c>
      <c r="C15" s="12" t="n">
        <v>800000</v>
      </c>
      <c r="D15" s="12" t="n">
        <v>800000</v>
      </c>
      <c r="E15" s="12" t="n">
        <v>800000</v>
      </c>
      <c r="F15" s="12" t="n">
        <v>800000</v>
      </c>
      <c r="G15" s="12" t="n">
        <v>4000000</v>
      </c>
    </row>
    <row r="16">
      <c r="A16" s="13" t="inlineStr">
        <is>
          <t>12. FORMACION INSTRUCTORES</t>
        </is>
      </c>
      <c r="B16" s="14" t="n">
        <v>600000</v>
      </c>
      <c r="C16" s="14" t="n">
        <v>600000</v>
      </c>
      <c r="D16" s="14" t="n">
        <v>600000</v>
      </c>
      <c r="E16" s="14" t="n">
        <v>0</v>
      </c>
      <c r="F16" s="14" t="n">
        <v>0</v>
      </c>
      <c r="G16" s="14" t="n">
        <v>1800000</v>
      </c>
    </row>
    <row r="17">
      <c r="A17" s="11" t="inlineStr">
        <is>
          <t>13. SEGUROS Y MANTENIMIENTO</t>
        </is>
      </c>
      <c r="B17" s="12" t="n">
        <v>500000</v>
      </c>
      <c r="C17" s="12" t="n">
        <v>600000</v>
      </c>
      <c r="D17" s="12" t="n">
        <v>700000</v>
      </c>
      <c r="E17" s="12" t="n">
        <v>750000</v>
      </c>
      <c r="F17" s="12" t="n">
        <v>800000</v>
      </c>
      <c r="G17" s="12" t="n">
        <v>3350000</v>
      </c>
    </row>
    <row r="18">
      <c r="A18" s="13" t="inlineStr">
        <is>
          <t>14. ASISTENCIA TECNICA / CONSULTORIA</t>
        </is>
      </c>
      <c r="B18" s="14" t="n">
        <v>1200000</v>
      </c>
      <c r="C18" s="14" t="n">
        <v>1000000</v>
      </c>
      <c r="D18" s="14" t="n">
        <v>800000</v>
      </c>
      <c r="E18" s="14" t="n">
        <v>600000</v>
      </c>
      <c r="F18" s="14" t="n">
        <v>400000</v>
      </c>
      <c r="G18" s="14" t="n">
        <v>4000000</v>
      </c>
    </row>
    <row r="19">
      <c r="A19" s="11" t="inlineStr">
        <is>
          <t>15. M&amp;E, AUDITORIA Y EVALUACION</t>
        </is>
      </c>
      <c r="B19" s="12" t="n">
        <v>800000</v>
      </c>
      <c r="C19" s="12" t="n">
        <v>800000</v>
      </c>
      <c r="D19" s="12" t="n">
        <v>800000</v>
      </c>
      <c r="E19" s="12" t="n">
        <v>800000</v>
      </c>
      <c r="F19" s="12" t="n">
        <v>800000</v>
      </c>
      <c r="G19" s="12" t="n">
        <v>4000000</v>
      </c>
    </row>
    <row r="20">
      <c r="A20" s="13" t="inlineStr">
        <is>
          <t>16. COMUNICACION Y MARKETING</t>
        </is>
      </c>
      <c r="B20" s="14" t="n">
        <v>500000</v>
      </c>
      <c r="C20" s="14" t="n">
        <v>400000</v>
      </c>
      <c r="D20" s="14" t="n">
        <v>300000</v>
      </c>
      <c r="E20" s="14" t="n">
        <v>200000</v>
      </c>
      <c r="F20" s="14" t="n">
        <v>200000</v>
      </c>
      <c r="G20" s="14" t="n">
        <v>1600000</v>
      </c>
    </row>
    <row r="21">
      <c r="A21" s="11" t="inlineStr">
        <is>
          <t>17. IMPREVISTOS (5%)</t>
        </is>
      </c>
      <c r="B21" s="12" t="n">
        <v>1334000</v>
      </c>
      <c r="C21" s="12" t="n">
        <v>1164000</v>
      </c>
      <c r="D21" s="12" t="n">
        <v>1058000</v>
      </c>
      <c r="E21" s="12" t="n">
        <v>912000</v>
      </c>
      <c r="F21" s="12" t="n">
        <v>782000</v>
      </c>
      <c r="G21" s="12" t="n">
        <v>5250000</v>
      </c>
    </row>
    <row r="22">
      <c r="A22" s="15" t="inlineStr">
        <is>
          <t>TOTAL PRESUPUESTO</t>
        </is>
      </c>
      <c r="B22" s="16" t="n">
        <v>39724000</v>
      </c>
      <c r="C22" s="16" t="n">
        <v>25504000</v>
      </c>
      <c r="D22" s="16" t="n">
        <v>22348000</v>
      </c>
      <c r="E22" s="16" t="n">
        <v>17502000</v>
      </c>
      <c r="F22" s="16" t="n">
        <v>16872000</v>
      </c>
      <c r="G22" s="16" t="n">
        <v>121950000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8" t="inlineStr">
        <is>
          <t>PRESUPUESTO POR COMPONENTE (Estructura BID)</t>
        </is>
      </c>
    </row>
    <row r="2">
      <c r="A2" s="9" t="inlineStr">
        <is>
          <t>Distribución del presupuesto total según estándar BID/PNUD</t>
        </is>
      </c>
    </row>
    <row r="4">
      <c r="A4" s="10" t="inlineStr">
        <is>
          <t>Componente</t>
        </is>
      </c>
      <c r="B4" s="10" t="inlineStr">
        <is>
          <t>Monto (RD$)</t>
        </is>
      </c>
      <c r="C4" s="10" t="inlineStr">
        <is>
          <t>%</t>
        </is>
      </c>
    </row>
    <row r="5">
      <c r="A5" s="11" t="inlineStr">
        <is>
          <t>C1: FORMACION TECNICA INTEGRAL (15 aulas + talleres)</t>
        </is>
      </c>
      <c r="B5" s="12" t="n">
        <v>38535000</v>
      </c>
      <c r="C5" s="17" t="n">
        <v>0.35</v>
      </c>
    </row>
    <row r="6">
      <c r="A6" s="13" t="inlineStr">
        <is>
          <t>C2: CAPITAL SEMILLA + ACOMPAÑAMIENTO EMPRENDEDOR</t>
        </is>
      </c>
      <c r="B6" s="14" t="n">
        <v>27525000</v>
      </c>
      <c r="C6" s="18" t="n">
        <v>0.25</v>
      </c>
    </row>
    <row r="7">
      <c r="A7" s="11" t="inlineStr">
        <is>
          <t>C3: SERVICIOS INTEGRALES (Guardería 0-10 + Dispensario)</t>
        </is>
      </c>
      <c r="B7" s="12" t="n">
        <v>27525000</v>
      </c>
      <c r="C7" s="17" t="n">
        <v>0.25</v>
      </c>
    </row>
    <row r="8">
      <c r="A8" s="13" t="inlineStr">
        <is>
          <t>C4: GESTION, M&amp;E Y SOSTENIBILIDAD</t>
        </is>
      </c>
      <c r="B8" s="14" t="n">
        <v>16515000</v>
      </c>
      <c r="C8" s="18" t="n">
        <v>0.15</v>
      </c>
    </row>
    <row r="9">
      <c r="A9" s="15" t="inlineStr">
        <is>
          <t>TOTAL</t>
        </is>
      </c>
      <c r="B9" s="16" t="n">
        <v>110100000</v>
      </c>
      <c r="C9" s="19" t="n">
        <v>1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CAPITAL SEMILLA POR DISCIPLINA</t>
        </is>
      </c>
    </row>
    <row r="2">
      <c r="A2" s="9" t="inlineStr">
        <is>
          <t>Kit de emprendimiento individual por beneficiaria - 3 ciclos/año</t>
        </is>
      </c>
    </row>
    <row r="4">
      <c r="A4" s="10" t="inlineStr">
        <is>
          <t>Disciplina</t>
        </is>
      </c>
      <c r="B4" s="10" t="inlineStr">
        <is>
          <t>Duración</t>
        </is>
      </c>
      <c r="C4" s="10" t="inlineStr">
        <is>
          <t>X Madre (RD$)</t>
        </is>
      </c>
      <c r="D4" s="10" t="inlineStr">
        <is>
          <t>Madres/Ciclo</t>
        </is>
      </c>
      <c r="E4" s="10" t="inlineStr">
        <is>
          <t>Total x Ciclo</t>
        </is>
      </c>
      <c r="F4" s="10" t="inlineStr">
        <is>
          <t>Total Anual (x3)</t>
        </is>
      </c>
    </row>
    <row r="5">
      <c r="A5" s="11" t="inlineStr">
        <is>
          <t>Estética (peluquería, uñas, maquillaje)</t>
        </is>
      </c>
      <c r="B5" s="20" t="inlineStr">
        <is>
          <t>3-4 meses</t>
        </is>
      </c>
      <c r="C5" s="12" t="n">
        <v>35000</v>
      </c>
      <c r="D5" s="12" t="n">
        <v>30</v>
      </c>
      <c r="E5" s="12" t="n">
        <v>1050000</v>
      </c>
      <c r="F5" s="12" t="n">
        <v>3150000</v>
      </c>
    </row>
    <row r="6">
      <c r="A6" s="13" t="inlineStr">
        <is>
          <t>Gastronomía (repostería, cocina, panadería)</t>
        </is>
      </c>
      <c r="B6" s="21" t="inlineStr">
        <is>
          <t>4-6 meses</t>
        </is>
      </c>
      <c r="C6" s="14" t="n">
        <v>50000</v>
      </c>
      <c r="D6" s="14" t="n">
        <v>15</v>
      </c>
      <c r="E6" s="14" t="n">
        <v>750000</v>
      </c>
      <c r="F6" s="14" t="n">
        <v>2250000</v>
      </c>
    </row>
    <row r="7">
      <c r="A7" s="11" t="inlineStr">
        <is>
          <t>Textil (costura, confección, bordado)</t>
        </is>
      </c>
      <c r="B7" s="20" t="inlineStr">
        <is>
          <t>4-6 meses</t>
        </is>
      </c>
      <c r="C7" s="12" t="n">
        <v>65000</v>
      </c>
      <c r="D7" s="12" t="n">
        <v>15</v>
      </c>
      <c r="E7" s="12" t="n">
        <v>975000</v>
      </c>
      <c r="F7" s="12" t="n">
        <v>2925000</v>
      </c>
    </row>
    <row r="8">
      <c r="A8" s="13" t="inlineStr">
        <is>
          <t>Tecnología (computación, marketing digital)</t>
        </is>
      </c>
      <c r="B8" s="21" t="inlineStr">
        <is>
          <t>3-6 meses</t>
        </is>
      </c>
      <c r="C8" s="14" t="n">
        <v>45000</v>
      </c>
      <c r="D8" s="14" t="n">
        <v>15</v>
      </c>
      <c r="E8" s="14" t="n">
        <v>675000</v>
      </c>
      <c r="F8" s="14" t="n">
        <v>2025000</v>
      </c>
    </row>
    <row r="9">
      <c r="A9" s="11" t="inlineStr">
        <is>
          <t>Artesanía y manualidades</t>
        </is>
      </c>
      <c r="B9" s="20" t="inlineStr">
        <is>
          <t>2-3 meses</t>
        </is>
      </c>
      <c r="C9" s="12" t="n">
        <v>25000</v>
      </c>
      <c r="D9" s="12" t="n">
        <v>15</v>
      </c>
      <c r="E9" s="12" t="n">
        <v>375000</v>
      </c>
      <c r="F9" s="12" t="n">
        <v>1125000</v>
      </c>
    </row>
    <row r="10">
      <c r="A10" s="15" t="inlineStr">
        <is>
          <t>TOTAL CAPITAL SEMILLA</t>
        </is>
      </c>
      <c r="E10" s="16" t="n">
        <v>3825000</v>
      </c>
      <c r="F10" s="16" t="n">
        <v>11475000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</cols>
  <sheetData>
    <row r="1">
      <c r="A1" s="8" t="inlineStr">
        <is>
          <t>PLANTA DE PERSONAL Y COSTOS SALARIALES</t>
        </is>
      </c>
    </row>
    <row r="2">
      <c r="A2" s="9" t="inlineStr">
        <is>
          <t>Incluye prestaciones laborales (CESANTIA + SFS + AFP aprox. 30%)</t>
        </is>
      </c>
    </row>
    <row r="4">
      <c r="A4" s="10" t="inlineStr">
        <is>
          <t>Cargo</t>
        </is>
      </c>
      <c r="B4" s="10" t="inlineStr">
        <is>
          <t>Cant.</t>
        </is>
      </c>
      <c r="C4" s="10" t="inlineStr">
        <is>
          <t>Mensual (RD$)</t>
        </is>
      </c>
      <c r="D4" s="10" t="inlineStr">
        <is>
          <t>Anual (RD$)</t>
        </is>
      </c>
    </row>
    <row r="5">
      <c r="A5" s="11" t="inlineStr">
        <is>
          <t>Directora del Centro</t>
        </is>
      </c>
      <c r="B5" s="20" t="n">
        <v>1</v>
      </c>
      <c r="C5" s="12" t="n">
        <v>75000</v>
      </c>
      <c r="D5" s="12" t="n">
        <v>900000</v>
      </c>
    </row>
    <row r="6">
      <c r="A6" s="13" t="inlineStr">
        <is>
          <t>Coordinadora Académica</t>
        </is>
      </c>
      <c r="B6" s="21" t="n">
        <v>1</v>
      </c>
      <c r="C6" s="14" t="n">
        <v>55000</v>
      </c>
      <c r="D6" s="14" t="n">
        <v>660000</v>
      </c>
    </row>
    <row r="7">
      <c r="A7" s="11" t="inlineStr">
        <is>
          <t>Psicóloga</t>
        </is>
      </c>
      <c r="B7" s="20" t="n">
        <v>1</v>
      </c>
      <c r="C7" s="12" t="n">
        <v>50000</v>
      </c>
      <c r="D7" s="12" t="n">
        <v>600000</v>
      </c>
    </row>
    <row r="8">
      <c r="A8" s="13" t="inlineStr">
        <is>
          <t>Trabajadora Social</t>
        </is>
      </c>
      <c r="B8" s="21" t="n">
        <v>1</v>
      </c>
      <c r="C8" s="14" t="n">
        <v>45000</v>
      </c>
      <c r="D8" s="14" t="n">
        <v>540000</v>
      </c>
    </row>
    <row r="9">
      <c r="A9" s="11" t="inlineStr">
        <is>
          <t>Instructora Estética</t>
        </is>
      </c>
      <c r="B9" s="20" t="n">
        <v>2</v>
      </c>
      <c r="C9" s="12" t="n">
        <v>40000</v>
      </c>
      <c r="D9" s="12" t="n">
        <v>960000</v>
      </c>
    </row>
    <row r="10">
      <c r="A10" s="13" t="inlineStr">
        <is>
          <t>Instructor Gastronomía</t>
        </is>
      </c>
      <c r="B10" s="21" t="n">
        <v>1</v>
      </c>
      <c r="C10" s="14" t="n">
        <v>40000</v>
      </c>
      <c r="D10" s="14" t="n">
        <v>480000</v>
      </c>
    </row>
    <row r="11">
      <c r="A11" s="11" t="inlineStr">
        <is>
          <t>Instructor Textil</t>
        </is>
      </c>
      <c r="B11" s="20" t="n">
        <v>1</v>
      </c>
      <c r="C11" s="12" t="n">
        <v>40000</v>
      </c>
      <c r="D11" s="12" t="n">
        <v>480000</v>
      </c>
    </row>
    <row r="12">
      <c r="A12" s="13" t="inlineStr">
        <is>
          <t>Instructor Tecnología</t>
        </is>
      </c>
      <c r="B12" s="21" t="n">
        <v>1</v>
      </c>
      <c r="C12" s="14" t="n">
        <v>40000</v>
      </c>
      <c r="D12" s="14" t="n">
        <v>480000</v>
      </c>
    </row>
    <row r="13">
      <c r="A13" s="11" t="inlineStr">
        <is>
          <t>Educadora Guardería (x3 turnos)</t>
        </is>
      </c>
      <c r="B13" s="20" t="n">
        <v>3</v>
      </c>
      <c r="C13" s="12" t="n">
        <v>30000</v>
      </c>
      <c r="D13" s="12" t="n">
        <v>1080000</v>
      </c>
    </row>
    <row r="14">
      <c r="A14" s="13" t="inlineStr">
        <is>
          <t>Auxiliar Guardería (x3 turnos)</t>
        </is>
      </c>
      <c r="B14" s="21" t="n">
        <v>3</v>
      </c>
      <c r="C14" s="14" t="n">
        <v>22000</v>
      </c>
      <c r="D14" s="14" t="n">
        <v>792000</v>
      </c>
    </row>
    <row r="15">
      <c r="A15" s="11" t="inlineStr">
        <is>
          <t>Médico / Enfermera Dispensario</t>
        </is>
      </c>
      <c r="B15" s="20" t="n">
        <v>1</v>
      </c>
      <c r="C15" s="12" t="n">
        <v>45000</v>
      </c>
      <c r="D15" s="12" t="n">
        <v>540000</v>
      </c>
    </row>
    <row r="16">
      <c r="A16" s="13" t="inlineStr">
        <is>
          <t>Asistente Administrativo</t>
        </is>
      </c>
      <c r="B16" s="21" t="n">
        <v>1</v>
      </c>
      <c r="C16" s="14" t="n">
        <v>30000</v>
      </c>
      <c r="D16" s="14" t="n">
        <v>360000</v>
      </c>
    </row>
    <row r="17">
      <c r="A17" s="11" t="inlineStr">
        <is>
          <t>Conserje / Mantenimiento</t>
        </is>
      </c>
      <c r="B17" s="20" t="n">
        <v>2</v>
      </c>
      <c r="C17" s="12" t="n">
        <v>20000</v>
      </c>
      <c r="D17" s="12" t="n">
        <v>480000</v>
      </c>
    </row>
    <row r="18">
      <c r="A18" s="15" t="inlineStr">
        <is>
          <t>TOTAL PERSONAL</t>
        </is>
      </c>
      <c r="D18" s="16" t="n">
        <v>8352000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8" t="inlineStr">
        <is>
          <t>COSTOS OPERATIVOS MENSUALES ESTIMADOS</t>
        </is>
      </c>
    </row>
    <row r="2">
      <c r="A2" s="9" t="inlineStr">
        <is>
          <t>Incluye todos los rubros recurrentes del centro</t>
        </is>
      </c>
    </row>
    <row r="4">
      <c r="A4" s="10" t="inlineStr">
        <is>
          <t>Rubro</t>
        </is>
      </c>
      <c r="B4" s="10" t="inlineStr">
        <is>
          <t>Mensual (RD$)</t>
        </is>
      </c>
      <c r="C4" s="10" t="inlineStr">
        <is>
          <t>Anual (RD$)</t>
        </is>
      </c>
    </row>
    <row r="5">
      <c r="A5" s="11" t="inlineStr">
        <is>
          <t>Servicios básicos (agua, luz, internet)</t>
        </is>
      </c>
      <c r="B5" s="12" t="n">
        <v>100000</v>
      </c>
      <c r="C5" s="12" t="n">
        <v>1200000</v>
      </c>
    </row>
    <row r="6">
      <c r="A6" s="13" t="inlineStr">
        <is>
          <t>Materia prima prácticas</t>
        </is>
      </c>
      <c r="B6" s="14" t="n">
        <v>150000</v>
      </c>
      <c r="C6" s="14" t="n">
        <v>1800000</v>
      </c>
    </row>
    <row r="7">
      <c r="A7" s="11" t="inlineStr">
        <is>
          <t>Alimentación guardería</t>
        </is>
      </c>
      <c r="B7" s="12" t="n">
        <v>80000</v>
      </c>
      <c r="C7" s="12" t="n">
        <v>960000</v>
      </c>
    </row>
    <row r="8">
      <c r="A8" s="13" t="inlineStr">
        <is>
          <t>Medicamentos e insumos médicos</t>
        </is>
      </c>
      <c r="B8" s="14" t="n">
        <v>40000</v>
      </c>
      <c r="C8" s="14" t="n">
        <v>480000</v>
      </c>
    </row>
    <row r="9">
      <c r="A9" s="11" t="inlineStr">
        <is>
          <t>Materiales oficina y papelería</t>
        </is>
      </c>
      <c r="B9" s="12" t="n">
        <v>25000</v>
      </c>
      <c r="C9" s="12" t="n">
        <v>300000</v>
      </c>
    </row>
    <row r="10">
      <c r="A10" s="13" t="inlineStr">
        <is>
          <t>Limpieza e higiene</t>
        </is>
      </c>
      <c r="B10" s="14" t="n">
        <v>20000</v>
      </c>
      <c r="C10" s="14" t="n">
        <v>240000</v>
      </c>
    </row>
    <row r="11">
      <c r="A11" s="11" t="inlineStr">
        <is>
          <t>Transporte y logística</t>
        </is>
      </c>
      <c r="B11" s="12" t="n">
        <v>35000</v>
      </c>
      <c r="C11" s="12" t="n">
        <v>420000</v>
      </c>
    </row>
    <row r="12">
      <c r="A12" s="13" t="inlineStr">
        <is>
          <t>Mantenimiento equipos e instalaciones</t>
        </is>
      </c>
      <c r="B12" s="14" t="n">
        <v>40000</v>
      </c>
      <c r="C12" s="14" t="n">
        <v>480000</v>
      </c>
    </row>
    <row r="13">
      <c r="A13" s="11" t="inlineStr">
        <is>
          <t>Comunicaciones (plan teléfono, internet)</t>
        </is>
      </c>
      <c r="B13" s="12" t="n">
        <v>15000</v>
      </c>
      <c r="C13" s="12" t="n">
        <v>180000</v>
      </c>
    </row>
    <row r="14">
      <c r="A14" s="13" t="inlineStr">
        <is>
          <t>Seguros</t>
        </is>
      </c>
      <c r="B14" s="14" t="n">
        <v>25000</v>
      </c>
      <c r="C14" s="14" t="n">
        <v>300000</v>
      </c>
    </row>
    <row r="15">
      <c r="A15" s="11" t="inlineStr">
        <is>
          <t>Imprevistos operativos (5%)</t>
        </is>
      </c>
      <c r="B15" s="12" t="n">
        <v>53000</v>
      </c>
      <c r="C15" s="12" t="n">
        <v>636000</v>
      </c>
    </row>
    <row r="16">
      <c r="A16" s="15" t="inlineStr">
        <is>
          <t>TOTAL OPERATIVO MENSUAL</t>
        </is>
      </c>
      <c r="B16" s="16" t="n">
        <v>583000</v>
      </c>
      <c r="C16" s="16" t="n">
        <v>6996000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45" customWidth="1" min="4" max="4"/>
  </cols>
  <sheetData>
    <row r="1">
      <c r="A1" s="8" t="inlineStr">
        <is>
          <t>PLAN DE FINANCIAMIENTO</t>
        </is>
      </c>
    </row>
    <row r="2">
      <c r="A2" s="9" t="inlineStr">
        <is>
          <t>Estructura de apalancamiento y contrapartidas</t>
        </is>
      </c>
    </row>
    <row r="4">
      <c r="A4" s="10" t="inlineStr">
        <is>
          <t>Fuente</t>
        </is>
      </c>
      <c r="B4" s="10" t="inlineStr">
        <is>
          <t>Monto (RD$)</t>
        </is>
      </c>
      <c r="C4" s="10" t="inlineStr">
        <is>
          <t>%</t>
        </is>
      </c>
      <c r="D4" s="10" t="inlineStr">
        <is>
          <t>Observaciones</t>
        </is>
      </c>
    </row>
    <row r="5">
      <c r="A5" s="11" t="inlineStr">
        <is>
          <t>BID / PNUD (préstamo o cooperación técnica)</t>
        </is>
      </c>
      <c r="B5" s="12" t="n">
        <v>77070000</v>
      </c>
      <c r="C5" s="17" t="n">
        <v>0.7</v>
      </c>
      <c r="D5" s="20" t="inlineStr">
        <is>
          <t>Reembolsable o no reembolsable, negociable según ventana de financiamiento</t>
        </is>
      </c>
    </row>
    <row r="6">
      <c r="A6" s="13" t="inlineStr">
        <is>
          <t>Gobierno RD (contrapartida)</t>
        </is>
      </c>
      <c r="B6" s="14" t="n">
        <v>19818000</v>
      </c>
      <c r="C6" s="18" t="n">
        <v>0.18</v>
      </c>
      <c r="D6" s="21" t="inlineStr">
        <is>
          <t>Supérate, Min. Mujer, INFOTEP, MEPyD</t>
        </is>
      </c>
    </row>
    <row r="7">
      <c r="A7" s="11" t="inlineStr">
        <is>
          <t>Sector privado / RSE</t>
        </is>
      </c>
      <c r="B7" s="12" t="n">
        <v>8808000</v>
      </c>
      <c r="C7" s="17" t="n">
        <v>0.08</v>
      </c>
      <c r="D7" s="20" t="inlineStr">
        <is>
          <t>Donaciones, exención fiscal Ley RSE</t>
        </is>
      </c>
    </row>
    <row r="8">
      <c r="A8" s="13" t="inlineStr">
        <is>
          <t>Aportes en especie</t>
        </is>
      </c>
      <c r="B8" s="14" t="n">
        <v>4404000</v>
      </c>
      <c r="C8" s="18" t="n">
        <v>0.04</v>
      </c>
      <c r="D8" s="21" t="inlineStr">
        <is>
          <t>Instructores INFOTEP, terreno donado, voluntariado</t>
        </is>
      </c>
    </row>
    <row r="9">
      <c r="A9" s="15" t="inlineStr">
        <is>
          <t>TOTAL</t>
        </is>
      </c>
      <c r="B9" s="16" t="n">
        <v>110100000</v>
      </c>
      <c r="C9" s="19" t="n">
        <v>1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8" t="inlineStr">
        <is>
          <t>INDICADORES CLAVE DE RENDIMIENTO (KPI)</t>
        </is>
      </c>
    </row>
    <row r="2">
      <c r="A2" s="9" t="inlineStr">
        <is>
          <t>Baseline y targets del proyecto a 5 años</t>
        </is>
      </c>
    </row>
    <row r="4">
      <c r="A4" s="10" t="inlineStr">
        <is>
          <t>Indicador</t>
        </is>
      </c>
      <c r="B4" s="10" t="inlineStr">
        <is>
          <t>Valor</t>
        </is>
      </c>
      <c r="C4" s="10" t="inlineStr">
        <is>
          <t>Notas</t>
        </is>
      </c>
    </row>
    <row r="5">
      <c r="A5" s="11" t="inlineStr">
        <is>
          <t>Beneficiarias directas (acumulado 5 años)</t>
        </is>
      </c>
      <c r="B5" s="20" t="inlineStr">
        <is>
          <t>1,750 - 2,250</t>
        </is>
      </c>
      <c r="C5" s="20" t="inlineStr">
        <is>
          <t>350-450 madres/año</t>
        </is>
      </c>
    </row>
    <row r="6">
      <c r="A6" s="13" t="inlineStr">
        <is>
          <t>Beneficiarios indirectos (hijos, familias)</t>
        </is>
      </c>
      <c r="B6" s="21" t="inlineStr">
        <is>
          <t>5,250 - 6,750</t>
        </is>
      </c>
      <c r="C6" s="21" t="inlineStr">
        <is>
          <t>Aprox. 3x beneficiarias directas</t>
        </is>
      </c>
    </row>
    <row r="7">
      <c r="A7" s="11" t="inlineStr">
        <is>
          <t>Niños en guardería (simultáneo)</t>
        </is>
      </c>
      <c r="B7" s="20" t="inlineStr">
        <is>
          <t>30 - 40</t>
        </is>
      </c>
      <c r="C7" s="20" t="inlineStr">
        <is>
          <t>0-10 años, 3 turnos</t>
        </is>
      </c>
    </row>
    <row r="8">
      <c r="A8" s="13" t="inlineStr">
        <is>
          <t>Tasa de finalización del programa</t>
        </is>
      </c>
      <c r="B8" s="21" t="inlineStr">
        <is>
          <t>85% (target)</t>
        </is>
      </c>
      <c r="C8" s="21" t="inlineStr">
        <is>
          <t>Meta BID estándar 80-90%</t>
        </is>
      </c>
    </row>
    <row r="9">
      <c r="A9" s="11" t="inlineStr">
        <is>
          <t>Emprendimientos activos a 12 meses</t>
        </is>
      </c>
      <c r="B9" s="20" t="inlineStr">
        <is>
          <t>70%</t>
        </is>
      </c>
      <c r="C9" s="20" t="inlineStr">
        <is>
          <t>Supervivencia emprendimientos</t>
        </is>
      </c>
    </row>
    <row r="10">
      <c r="A10" s="13" t="inlineStr">
        <is>
          <t>Incremento ingreso familiar</t>
        </is>
      </c>
      <c r="B10" s="21" t="inlineStr">
        <is>
          <t>+40%</t>
        </is>
      </c>
      <c r="C10" s="21" t="inlineStr">
        <is>
          <t>Línea base: ~RD$ 8,000/mes</t>
        </is>
      </c>
    </row>
    <row r="11">
      <c r="A11" s="11" t="inlineStr">
        <is>
          <t>Costo por beneficiaria (5 años)</t>
        </is>
      </c>
      <c r="B11" s="20" t="inlineStr">
        <is>
          <t>RD$ 314,571</t>
        </is>
      </c>
      <c r="C11" s="20" t="inlineStr">
        <is>
          <t>Total / beneficiarias acumuladas</t>
        </is>
      </c>
    </row>
    <row r="12">
      <c r="A12" s="13" t="inlineStr">
        <is>
          <t>Costo por hora de capacitación</t>
        </is>
      </c>
      <c r="B12" s="21" t="inlineStr">
        <is>
          <t>RD$ 1,200</t>
        </is>
      </c>
      <c r="C12" s="21" t="inlineStr">
        <is>
          <t>Incluye materiales e instructor</t>
        </is>
      </c>
    </row>
    <row r="13">
      <c r="A13" s="11" t="inlineStr">
        <is>
          <t>Ratio apalancamiento BID/gobierno</t>
        </is>
      </c>
      <c r="B13" s="20" t="inlineStr">
        <is>
          <t>70/18</t>
        </is>
      </c>
      <c r="C13" s="20" t="inlineStr">
        <is>
          <t>BID/Gobierno/Privado/Especie</t>
        </is>
      </c>
    </row>
    <row r="14">
      <c r="A14" s="13" t="inlineStr">
        <is>
          <t>Tasa interna de retorno social (SROI)</t>
        </is>
      </c>
      <c r="B14" s="21" t="inlineStr">
        <is>
          <t>3.2:1 (estimado)</t>
        </is>
      </c>
      <c r="C14" s="21" t="inlineStr">
        <is>
          <t>Por cada RD$1 invertido, RD$3.2 retorno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2026-06-17T18:06:45Z</dcterms:created>
  <dcterms:modified xmlns:dcterms="http://purl.org/dc/terms/" xmlns:xsi="http://www.w3.org/2001/XMLSchema-instance" xsi:type="dcterms:W3CDTF">2026-06-17T18:06:45Z</dcterms:modified>
</cp:coreProperties>
</file>